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\Desktop\Data-Mesh-Organization\Recursos Humanos\Analise Arquivos\"/>
    </mc:Choice>
  </mc:AlternateContent>
  <xr:revisionPtr revIDLastSave="0" documentId="13_ncr:1_{7570B14A-3472-4310-BF58-A3F02FFDC2F5}" xr6:coauthVersionLast="47" xr6:coauthVersionMax="47" xr10:uidLastSave="{00000000-0000-0000-0000-000000000000}"/>
  <bookViews>
    <workbookView xWindow="-120" yWindow="-120" windowWidth="38640" windowHeight="21240" xr2:uid="{2C544E46-80D8-4BC8-A67C-BEE234347942}"/>
  </bookViews>
  <sheets>
    <sheet name="Kb" sheetId="1" r:id="rId1"/>
    <sheet name="M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" i="2" l="1"/>
  <c r="D19" i="2"/>
  <c r="C19" i="2"/>
  <c r="E26" i="2"/>
  <c r="D26" i="2"/>
  <c r="C26" i="2"/>
  <c r="C20" i="2"/>
  <c r="C21" i="2"/>
  <c r="C22" i="2"/>
  <c r="C23" i="2"/>
  <c r="C24" i="2"/>
  <c r="C25" i="2"/>
  <c r="C27" i="2"/>
  <c r="C28" i="2"/>
  <c r="C29" i="2"/>
  <c r="C30" i="2"/>
  <c r="E30" i="2"/>
  <c r="D30" i="2"/>
  <c r="E29" i="2"/>
  <c r="D29" i="2"/>
  <c r="E28" i="2"/>
  <c r="D28" i="2"/>
  <c r="E27" i="2"/>
  <c r="D27" i="2"/>
  <c r="E25" i="2"/>
  <c r="D25" i="2"/>
  <c r="E24" i="2"/>
  <c r="D24" i="2"/>
  <c r="E23" i="2"/>
  <c r="D23" i="2"/>
  <c r="E22" i="2"/>
  <c r="D22" i="2"/>
  <c r="E21" i="2"/>
  <c r="D21" i="2"/>
  <c r="E20" i="2"/>
  <c r="D20" i="2"/>
  <c r="F5" i="2"/>
  <c r="F6" i="2"/>
  <c r="F7" i="2"/>
  <c r="F8" i="2"/>
  <c r="F9" i="2"/>
  <c r="F10" i="2"/>
  <c r="F11" i="2"/>
  <c r="F12" i="2"/>
  <c r="F13" i="2"/>
  <c r="F14" i="2"/>
  <c r="F15" i="2"/>
  <c r="F4" i="2"/>
  <c r="E5" i="2"/>
  <c r="E6" i="2"/>
  <c r="E7" i="2"/>
  <c r="E8" i="2"/>
  <c r="E9" i="2"/>
  <c r="E10" i="2"/>
  <c r="E11" i="2"/>
  <c r="E12" i="2"/>
  <c r="E13" i="2"/>
  <c r="E14" i="2"/>
  <c r="E15" i="2"/>
  <c r="E4" i="2"/>
  <c r="D5" i="2"/>
  <c r="D6" i="2"/>
  <c r="D7" i="2"/>
  <c r="D8" i="2"/>
  <c r="D9" i="2"/>
  <c r="D10" i="2"/>
  <c r="D11" i="2"/>
  <c r="D12" i="2"/>
  <c r="D13" i="2"/>
  <c r="D14" i="2"/>
  <c r="D15" i="2"/>
  <c r="D4" i="2"/>
  <c r="C5" i="2"/>
  <c r="C6" i="2"/>
  <c r="C7" i="2"/>
  <c r="C8" i="2"/>
  <c r="C9" i="2"/>
  <c r="C10" i="2"/>
  <c r="C11" i="2"/>
  <c r="C12" i="2"/>
  <c r="C13" i="2"/>
  <c r="C14" i="2"/>
  <c r="C15" i="2"/>
  <c r="C4" i="2"/>
  <c r="E19" i="1"/>
  <c r="E20" i="1"/>
  <c r="E21" i="1"/>
  <c r="E22" i="1"/>
  <c r="E23" i="1"/>
  <c r="E24" i="1"/>
  <c r="E25" i="1"/>
  <c r="E26" i="1"/>
  <c r="E27" i="1"/>
  <c r="E28" i="1"/>
  <c r="E29" i="1"/>
  <c r="E30" i="1"/>
  <c r="D19" i="1"/>
  <c r="D20" i="1"/>
  <c r="D21" i="1"/>
  <c r="D22" i="1"/>
  <c r="D23" i="1"/>
  <c r="D24" i="1"/>
  <c r="D25" i="1"/>
  <c r="D26" i="1"/>
  <c r="D27" i="1"/>
  <c r="D28" i="1"/>
  <c r="D29" i="1"/>
  <c r="D30" i="1"/>
  <c r="C19" i="1"/>
  <c r="C20" i="1"/>
  <c r="C21" i="1"/>
  <c r="C22" i="1"/>
  <c r="C23" i="1"/>
  <c r="C24" i="1"/>
  <c r="C25" i="1"/>
  <c r="C26" i="1"/>
  <c r="C27" i="1"/>
  <c r="C28" i="1"/>
  <c r="C29" i="1"/>
  <c r="C30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<sst xmlns="http://schemas.openxmlformats.org/spreadsheetml/2006/main" count="70" uniqueCount="20">
  <si>
    <t>tabela</t>
  </si>
  <si>
    <t>unidade_restaurante</t>
  </si>
  <si>
    <t>cargo</t>
  </si>
  <si>
    <t>turno</t>
  </si>
  <si>
    <t>departamento</t>
  </si>
  <si>
    <t>colaborador</t>
  </si>
  <si>
    <t>ausencia</t>
  </si>
  <si>
    <t>movimentacao_colaborador</t>
  </si>
  <si>
    <t>treinamento</t>
  </si>
  <si>
    <t>participacao_treinamento</t>
  </si>
  <si>
    <t>recrutamento_vaga</t>
  </si>
  <si>
    <t>candidato</t>
  </si>
  <si>
    <t>candidatura</t>
  </si>
  <si>
    <t>Relação em kb</t>
  </si>
  <si>
    <t>Relação em porcentagem csv para arquivos</t>
  </si>
  <si>
    <t>Relação em mb</t>
  </si>
  <si>
    <t>csv</t>
  </si>
  <si>
    <t>parquet</t>
  </si>
  <si>
    <t>avro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</si>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</sst>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theme="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43" fontId="0" fillId="0" borderId="0" xfId="1" applyNumberFormat="1" applyFont="1"/>
    <xf numFmtId="166" fontId="0" fillId="0" borderId="0" xfId="1" applyNumberFormat="1" applyFont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3" borderId="2" xfId="0" applyFont="1" applyFill="1" applyBorder="1"/>
    <xf numFmtId="0" fontId="0" fillId="0" borderId="2" xfId="0" applyFont="1" applyBorder="1"/>
    <xf numFmtId="0" fontId="2" fillId="2" borderId="3" xfId="0" applyFont="1" applyFill="1" applyBorder="1"/>
    <xf numFmtId="0" fontId="0" fillId="0" borderId="4" xfId="0" applyFont="1" applyBorder="1"/>
    <xf numFmtId="10" fontId="0" fillId="3" borderId="2" xfId="2" applyNumberFormat="1" applyFont="1" applyFill="1" applyBorder="1"/>
    <xf numFmtId="10" fontId="0" fillId="0" borderId="2" xfId="2" applyNumberFormat="1" applyFont="1" applyBorder="1"/>
    <xf numFmtId="10" fontId="0" fillId="0" borderId="4" xfId="2" applyNumberFormat="1" applyFont="1" applyBorder="1"/>
  </cellXfs>
  <cellStyles count="3">
    <cellStyle name="Normal" xfId="0" builtinId="0"/>
    <cellStyle name="Porcentagem" xfId="2" builtinId="5"/>
    <cellStyle name="Vírgula" xfId="1" builtinId="3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Relação em KB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Kb!$C$3</c:f>
              <c:strCache>
                <c:ptCount val="1"/>
                <c:pt idx="0">
                  <c:v>csv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Kb!$B$4:$B$15</c:f>
              <c:strCache>
                <c:ptCount val="12"/>
                <c:pt idx="0">
                  <c:v>ausencia</c:v>
                </c:pt>
                <c:pt idx="1">
                  <c:v>candidato</c:v>
                </c:pt>
                <c:pt idx="2">
                  <c:v>candidatura</c:v>
                </c:pt>
                <c:pt idx="3">
                  <c:v>cargo</c:v>
                </c:pt>
                <c:pt idx="4">
                  <c:v>colaborador</c:v>
                </c:pt>
                <c:pt idx="5">
                  <c:v>departamento</c:v>
                </c:pt>
                <c:pt idx="6">
                  <c:v>movimentacao_colaborador</c:v>
                </c:pt>
                <c:pt idx="7">
                  <c:v>participacao_treinamento</c:v>
                </c:pt>
                <c:pt idx="8">
                  <c:v>recrutamento_vaga</c:v>
                </c:pt>
                <c:pt idx="9">
                  <c:v>treinamento</c:v>
                </c:pt>
                <c:pt idx="10">
                  <c:v>turno</c:v>
                </c:pt>
                <c:pt idx="11">
                  <c:v>unidade_restaurante</c:v>
                </c:pt>
              </c:strCache>
            </c:strRef>
          </c:cat>
          <c:val>
            <c:numRef>
              <c:f>Kb!$C$4:$C$15</c:f>
              <c:numCache>
                <c:formatCode>_-* #,##0_-;\-* #,##0_-;_-* "-"??_-;_-@_-</c:formatCode>
                <c:ptCount val="12"/>
                <c:pt idx="0">
                  <c:v>53302</c:v>
                </c:pt>
                <c:pt idx="1">
                  <c:v>49289</c:v>
                </c:pt>
                <c:pt idx="2">
                  <c:v>40816</c:v>
                </c:pt>
                <c:pt idx="3">
                  <c:v>59920</c:v>
                </c:pt>
                <c:pt idx="4">
                  <c:v>92277</c:v>
                </c:pt>
                <c:pt idx="5">
                  <c:v>55611</c:v>
                </c:pt>
                <c:pt idx="6">
                  <c:v>57098</c:v>
                </c:pt>
                <c:pt idx="7">
                  <c:v>35228</c:v>
                </c:pt>
                <c:pt idx="8">
                  <c:v>95785</c:v>
                </c:pt>
                <c:pt idx="9">
                  <c:v>64645</c:v>
                </c:pt>
                <c:pt idx="10">
                  <c:v>40636</c:v>
                </c:pt>
                <c:pt idx="11">
                  <c:v>34200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6-46E1-B885-8EF3134CFBEB}"/>
            </c:ext>
          </c:extLst>
        </c:ser>
        <c:ser>
          <c:idx val="1"/>
          <c:order val="1"/>
          <c:tx>
            <c:strRef>
              <c:f>Kb!$D$3</c:f>
              <c:strCache>
                <c:ptCount val="1"/>
                <c:pt idx="0">
                  <c:v>parquet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Kb!$B$4:$B$15</c:f>
              <c:strCache>
                <c:ptCount val="12"/>
                <c:pt idx="0">
                  <c:v>ausencia</c:v>
                </c:pt>
                <c:pt idx="1">
                  <c:v>candidato</c:v>
                </c:pt>
                <c:pt idx="2">
                  <c:v>candidatura</c:v>
                </c:pt>
                <c:pt idx="3">
                  <c:v>cargo</c:v>
                </c:pt>
                <c:pt idx="4">
                  <c:v>colaborador</c:v>
                </c:pt>
                <c:pt idx="5">
                  <c:v>departamento</c:v>
                </c:pt>
                <c:pt idx="6">
                  <c:v>movimentacao_colaborador</c:v>
                </c:pt>
                <c:pt idx="7">
                  <c:v>participacao_treinamento</c:v>
                </c:pt>
                <c:pt idx="8">
                  <c:v>recrutamento_vaga</c:v>
                </c:pt>
                <c:pt idx="9">
                  <c:v>treinamento</c:v>
                </c:pt>
                <c:pt idx="10">
                  <c:v>turno</c:v>
                </c:pt>
                <c:pt idx="11">
                  <c:v>unidade_restaurante</c:v>
                </c:pt>
              </c:strCache>
            </c:strRef>
          </c:cat>
          <c:val>
            <c:numRef>
              <c:f>Kb!$D$4:$D$15</c:f>
              <c:numCache>
                <c:formatCode>_-* #,##0_-;\-* #,##0_-;_-* "-"??_-;_-@_-</c:formatCode>
                <c:ptCount val="12"/>
                <c:pt idx="0">
                  <c:v>12554</c:v>
                </c:pt>
                <c:pt idx="1">
                  <c:v>16627</c:v>
                </c:pt>
                <c:pt idx="2">
                  <c:v>11255</c:v>
                </c:pt>
                <c:pt idx="3">
                  <c:v>4769</c:v>
                </c:pt>
                <c:pt idx="4">
                  <c:v>35705</c:v>
                </c:pt>
                <c:pt idx="5">
                  <c:v>10571</c:v>
                </c:pt>
                <c:pt idx="6">
                  <c:v>22807</c:v>
                </c:pt>
                <c:pt idx="7">
                  <c:v>10924</c:v>
                </c:pt>
                <c:pt idx="8">
                  <c:v>11640</c:v>
                </c:pt>
                <c:pt idx="9">
                  <c:v>6794</c:v>
                </c:pt>
                <c:pt idx="10">
                  <c:v>3348</c:v>
                </c:pt>
                <c:pt idx="11">
                  <c:v>6225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C6-46E1-B885-8EF3134CFBEB}"/>
            </c:ext>
          </c:extLst>
        </c:ser>
        <c:ser>
          <c:idx val="2"/>
          <c:order val="2"/>
          <c:tx>
            <c:strRef>
              <c:f>Kb!$E$3</c:f>
              <c:strCache>
                <c:ptCount val="1"/>
                <c:pt idx="0">
                  <c:v>avro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Kb!$B$4:$B$15</c:f>
              <c:strCache>
                <c:ptCount val="12"/>
                <c:pt idx="0">
                  <c:v>ausencia</c:v>
                </c:pt>
                <c:pt idx="1">
                  <c:v>candidato</c:v>
                </c:pt>
                <c:pt idx="2">
                  <c:v>candidatura</c:v>
                </c:pt>
                <c:pt idx="3">
                  <c:v>cargo</c:v>
                </c:pt>
                <c:pt idx="4">
                  <c:v>colaborador</c:v>
                </c:pt>
                <c:pt idx="5">
                  <c:v>departamento</c:v>
                </c:pt>
                <c:pt idx="6">
                  <c:v>movimentacao_colaborador</c:v>
                </c:pt>
                <c:pt idx="7">
                  <c:v>participacao_treinamento</c:v>
                </c:pt>
                <c:pt idx="8">
                  <c:v>recrutamento_vaga</c:v>
                </c:pt>
                <c:pt idx="9">
                  <c:v>treinamento</c:v>
                </c:pt>
                <c:pt idx="10">
                  <c:v>turno</c:v>
                </c:pt>
                <c:pt idx="11">
                  <c:v>unidade_restaurante</c:v>
                </c:pt>
              </c:strCache>
            </c:strRef>
          </c:cat>
          <c:val>
            <c:numRef>
              <c:f>Kb!$E$4:$E$15</c:f>
              <c:numCache>
                <c:formatCode>_-* #,##0_-;\-* #,##0_-;_-* "-"??_-;_-@_-</c:formatCode>
                <c:ptCount val="12"/>
                <c:pt idx="0">
                  <c:v>79750</c:v>
                </c:pt>
                <c:pt idx="1">
                  <c:v>77222</c:v>
                </c:pt>
                <c:pt idx="2">
                  <c:v>69716</c:v>
                </c:pt>
                <c:pt idx="3">
                  <c:v>85911</c:v>
                </c:pt>
                <c:pt idx="4">
                  <c:v>121244</c:v>
                </c:pt>
                <c:pt idx="5">
                  <c:v>85128</c:v>
                </c:pt>
                <c:pt idx="6">
                  <c:v>92376</c:v>
                </c:pt>
                <c:pt idx="7">
                  <c:v>70477</c:v>
                </c:pt>
                <c:pt idx="8">
                  <c:v>127682</c:v>
                </c:pt>
                <c:pt idx="9">
                  <c:v>93576</c:v>
                </c:pt>
                <c:pt idx="10">
                  <c:v>66602</c:v>
                </c:pt>
                <c:pt idx="11">
                  <c:v>67003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C6-46E1-B885-8EF3134CFBEB}"/>
            </c:ext>
          </c:extLst>
        </c:ser>
        <c:ser>
          <c:idx val="3"/>
          <c:order val="3"/>
          <c:tx>
            <c:strRef>
              <c:f>Kb!$F$3</c:f>
              <c:strCache>
                <c:ptCount val="1"/>
                <c:pt idx="0">
                  <c:v>delta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Kb!$B$4:$B$15</c:f>
              <c:strCache>
                <c:ptCount val="12"/>
                <c:pt idx="0">
                  <c:v>ausencia</c:v>
                </c:pt>
                <c:pt idx="1">
                  <c:v>candidato</c:v>
                </c:pt>
                <c:pt idx="2">
                  <c:v>candidatura</c:v>
                </c:pt>
                <c:pt idx="3">
                  <c:v>cargo</c:v>
                </c:pt>
                <c:pt idx="4">
                  <c:v>colaborador</c:v>
                </c:pt>
                <c:pt idx="5">
                  <c:v>departamento</c:v>
                </c:pt>
                <c:pt idx="6">
                  <c:v>movimentacao_colaborador</c:v>
                </c:pt>
                <c:pt idx="7">
                  <c:v>participacao_treinamento</c:v>
                </c:pt>
                <c:pt idx="8">
                  <c:v>recrutamento_vaga</c:v>
                </c:pt>
                <c:pt idx="9">
                  <c:v>treinamento</c:v>
                </c:pt>
                <c:pt idx="10">
                  <c:v>turno</c:v>
                </c:pt>
                <c:pt idx="11">
                  <c:v>unidade_restaurante</c:v>
                </c:pt>
              </c:strCache>
            </c:strRef>
          </c:cat>
          <c:val>
            <c:numRef>
              <c:f>Kb!$F$4:$F$15</c:f>
              <c:numCache>
                <c:formatCode>_-* #,##0_-;\-* #,##0_-;_-* "-"??_-;_-@_-</c:formatCode>
                <c:ptCount val="12"/>
                <c:pt idx="0">
                  <c:v>12492.8</c:v>
                </c:pt>
                <c:pt idx="1">
                  <c:v>16588.8</c:v>
                </c:pt>
                <c:pt idx="2">
                  <c:v>10752</c:v>
                </c:pt>
                <c:pt idx="3">
                  <c:v>4556.8</c:v>
                </c:pt>
                <c:pt idx="4">
                  <c:v>35840</c:v>
                </c:pt>
                <c:pt idx="5">
                  <c:v>10444.799999999999</c:v>
                </c:pt>
                <c:pt idx="6">
                  <c:v>22937.599999999999</c:v>
                </c:pt>
                <c:pt idx="7">
                  <c:v>10752</c:v>
                </c:pt>
                <c:pt idx="8">
                  <c:v>11571.2</c:v>
                </c:pt>
                <c:pt idx="9">
                  <c:v>6656</c:v>
                </c:pt>
                <c:pt idx="10">
                  <c:v>3205.12</c:v>
                </c:pt>
                <c:pt idx="11">
                  <c:v>6092.8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C6-46E1-B885-8EF3134CFB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81988911"/>
        <c:axId val="282006671"/>
      </c:barChart>
      <c:catAx>
        <c:axId val="28198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2006671"/>
        <c:crosses val="autoZero"/>
        <c:auto val="1"/>
        <c:lblAlgn val="ctr"/>
        <c:lblOffset val="100"/>
        <c:noMultiLvlLbl val="0"/>
      </c:catAx>
      <c:valAx>
        <c:axId val="28200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1988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Relação em Conversão do CSV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Kb!$C$18</c:f>
              <c:strCache>
                <c:ptCount val="1"/>
                <c:pt idx="0">
                  <c:v>parquet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Kb!$B$19:$B$30</c:f>
              <c:strCache>
                <c:ptCount val="12"/>
                <c:pt idx="0">
                  <c:v>unidade_restaurante</c:v>
                </c:pt>
                <c:pt idx="1">
                  <c:v>cargo</c:v>
                </c:pt>
                <c:pt idx="2">
                  <c:v>turno</c:v>
                </c:pt>
                <c:pt idx="3">
                  <c:v>departamento</c:v>
                </c:pt>
                <c:pt idx="4">
                  <c:v>colaborador</c:v>
                </c:pt>
                <c:pt idx="5">
                  <c:v>ausencia</c:v>
                </c:pt>
                <c:pt idx="6">
                  <c:v>movimentacao_colaborador</c:v>
                </c:pt>
                <c:pt idx="7">
                  <c:v>treinamento</c:v>
                </c:pt>
                <c:pt idx="8">
                  <c:v>participacao_treinamento</c:v>
                </c:pt>
                <c:pt idx="9">
                  <c:v>recrutamento_vaga</c:v>
                </c:pt>
                <c:pt idx="10">
                  <c:v>candidato</c:v>
                </c:pt>
                <c:pt idx="11">
                  <c:v>candidatura</c:v>
                </c:pt>
              </c:strCache>
            </c:strRef>
          </c:cat>
          <c:val>
            <c:numRef>
              <c:f>Kb!$C$19:$C$30</c:f>
              <c:numCache>
                <c:formatCode>0.00%</c:formatCode>
                <c:ptCount val="12"/>
                <c:pt idx="0">
                  <c:v>0.23552587144947656</c:v>
                </c:pt>
                <c:pt idx="1">
                  <c:v>0.33733693116111102</c:v>
                </c:pt>
                <c:pt idx="2">
                  <c:v>0.27574970599764798</c:v>
                </c:pt>
                <c:pt idx="3">
                  <c:v>7.9589452603471292E-2</c:v>
                </c:pt>
                <c:pt idx="4">
                  <c:v>0.38693282182992511</c:v>
                </c:pt>
                <c:pt idx="5">
                  <c:v>0.19008829188469906</c:v>
                </c:pt>
                <c:pt idx="6">
                  <c:v>0.39943605730498444</c:v>
                </c:pt>
                <c:pt idx="7">
                  <c:v>0.31009424321562395</c:v>
                </c:pt>
                <c:pt idx="8">
                  <c:v>0.1215221590019314</c:v>
                </c:pt>
                <c:pt idx="9">
                  <c:v>0.10509706860546059</c:v>
                </c:pt>
                <c:pt idx="10">
                  <c:v>8.2389999015651152E-2</c:v>
                </c:pt>
                <c:pt idx="11">
                  <c:v>0.18201754385964913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B-4BEA-99B2-84547A3EA2EC}"/>
            </c:ext>
          </c:extLst>
        </c:ser>
        <c:ser>
          <c:idx val="1"/>
          <c:order val="1"/>
          <c:tx>
            <c:strRef>
              <c:f>Kb!$D$18</c:f>
              <c:strCache>
                <c:ptCount val="1"/>
                <c:pt idx="0">
                  <c:v>avro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Kb!$B$19:$B$30</c:f>
              <c:strCache>
                <c:ptCount val="12"/>
                <c:pt idx="0">
                  <c:v>unidade_restaurante</c:v>
                </c:pt>
                <c:pt idx="1">
                  <c:v>cargo</c:v>
                </c:pt>
                <c:pt idx="2">
                  <c:v>turno</c:v>
                </c:pt>
                <c:pt idx="3">
                  <c:v>departamento</c:v>
                </c:pt>
                <c:pt idx="4">
                  <c:v>colaborador</c:v>
                </c:pt>
                <c:pt idx="5">
                  <c:v>ausencia</c:v>
                </c:pt>
                <c:pt idx="6">
                  <c:v>movimentacao_colaborador</c:v>
                </c:pt>
                <c:pt idx="7">
                  <c:v>treinamento</c:v>
                </c:pt>
                <c:pt idx="8">
                  <c:v>participacao_treinamento</c:v>
                </c:pt>
                <c:pt idx="9">
                  <c:v>recrutamento_vaga</c:v>
                </c:pt>
                <c:pt idx="10">
                  <c:v>candidato</c:v>
                </c:pt>
                <c:pt idx="11">
                  <c:v>candidatura</c:v>
                </c:pt>
              </c:strCache>
            </c:strRef>
          </c:cat>
          <c:val>
            <c:numRef>
              <c:f>Kb!$D$19:$D$30</c:f>
              <c:numCache>
                <c:formatCode>0.00%</c:formatCode>
                <c:ptCount val="12"/>
                <c:pt idx="0">
                  <c:v>1.4961915125136018</c:v>
                </c:pt>
                <c:pt idx="1">
                  <c:v>1.5667187404897644</c:v>
                </c:pt>
                <c:pt idx="2">
                  <c:v>1.7080556644453155</c:v>
                </c:pt>
                <c:pt idx="3">
                  <c:v>1.4337616822429906</c:v>
                </c:pt>
                <c:pt idx="4">
                  <c:v>1.3139135429196875</c:v>
                </c:pt>
                <c:pt idx="5">
                  <c:v>1.5307762852673032</c:v>
                </c:pt>
                <c:pt idx="6">
                  <c:v>1.6178500122596238</c:v>
                </c:pt>
                <c:pt idx="7">
                  <c:v>2.0005961167253323</c:v>
                </c:pt>
                <c:pt idx="8">
                  <c:v>1.3330062118285744</c:v>
                </c:pt>
                <c:pt idx="9">
                  <c:v>1.4475365457498646</c:v>
                </c:pt>
                <c:pt idx="10">
                  <c:v>1.6389900580765824</c:v>
                </c:pt>
                <c:pt idx="11">
                  <c:v>1.9591520467836256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CB-4BEA-99B2-84547A3EA2EC}"/>
            </c:ext>
          </c:extLst>
        </c:ser>
        <c:ser>
          <c:idx val="2"/>
          <c:order val="2"/>
          <c:tx>
            <c:strRef>
              <c:f>Kb!$E$18</c:f>
              <c:strCache>
                <c:ptCount val="1"/>
                <c:pt idx="0">
                  <c:v>delta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Kb!$B$19:$B$30</c:f>
              <c:strCache>
                <c:ptCount val="12"/>
                <c:pt idx="0">
                  <c:v>unidade_restaurante</c:v>
                </c:pt>
                <c:pt idx="1">
                  <c:v>cargo</c:v>
                </c:pt>
                <c:pt idx="2">
                  <c:v>turno</c:v>
                </c:pt>
                <c:pt idx="3">
                  <c:v>departamento</c:v>
                </c:pt>
                <c:pt idx="4">
                  <c:v>colaborador</c:v>
                </c:pt>
                <c:pt idx="5">
                  <c:v>ausencia</c:v>
                </c:pt>
                <c:pt idx="6">
                  <c:v>movimentacao_colaborador</c:v>
                </c:pt>
                <c:pt idx="7">
                  <c:v>treinamento</c:v>
                </c:pt>
                <c:pt idx="8">
                  <c:v>participacao_treinamento</c:v>
                </c:pt>
                <c:pt idx="9">
                  <c:v>recrutamento_vaga</c:v>
                </c:pt>
                <c:pt idx="10">
                  <c:v>candidato</c:v>
                </c:pt>
                <c:pt idx="11">
                  <c:v>candidatura</c:v>
                </c:pt>
              </c:strCache>
            </c:strRef>
          </c:cat>
          <c:val>
            <c:numRef>
              <c:f>Kb!$E$19:$E$30</c:f>
              <c:numCache>
                <c:formatCode>0.00%</c:formatCode>
                <c:ptCount val="12"/>
                <c:pt idx="0">
                  <c:v>0.23437769689692692</c:v>
                </c:pt>
                <c:pt idx="1">
                  <c:v>0.3365619103653959</c:v>
                </c:pt>
                <c:pt idx="2">
                  <c:v>0.26342610740885924</c:v>
                </c:pt>
                <c:pt idx="3">
                  <c:v>7.6048064085447273E-2</c:v>
                </c:pt>
                <c:pt idx="4">
                  <c:v>0.38839580827291742</c:v>
                </c:pt>
                <c:pt idx="5">
                  <c:v>0.18781895668123211</c:v>
                </c:pt>
                <c:pt idx="6">
                  <c:v>0.40172335283197308</c:v>
                </c:pt>
                <c:pt idx="7">
                  <c:v>0.30521176337004657</c:v>
                </c:pt>
                <c:pt idx="8">
                  <c:v>0.12080388369786502</c:v>
                </c:pt>
                <c:pt idx="9">
                  <c:v>0.10296233274035115</c:v>
                </c:pt>
                <c:pt idx="10">
                  <c:v>7.8873904911900772E-2</c:v>
                </c:pt>
                <c:pt idx="11">
                  <c:v>0.17815204678362573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CB-4BEA-99B2-84547A3EA2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81989391"/>
        <c:axId val="282003311"/>
      </c:barChart>
      <c:catAx>
        <c:axId val="28198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2003311"/>
        <c:crosses val="autoZero"/>
        <c:auto val="1"/>
        <c:lblAlgn val="ctr"/>
        <c:lblOffset val="100"/>
        <c:noMultiLvlLbl val="0"/>
      </c:catAx>
      <c:valAx>
        <c:axId val="28200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19893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Relação</a:t>
            </a:r>
            <a:r>
              <a:rPr lang="pt-BR" baseline="0"/>
              <a:t> em MB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Mb!$C$3</c:f>
              <c:strCache>
                <c:ptCount val="1"/>
                <c:pt idx="0">
                  <c:v>csv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Mb!$B$4:$B$15</c:f>
              <c:strCache>
                <c:ptCount val="12"/>
                <c:pt idx="0">
                  <c:v>ausencia</c:v>
                </c:pt>
                <c:pt idx="1">
                  <c:v>candidato</c:v>
                </c:pt>
                <c:pt idx="2">
                  <c:v>candidatura</c:v>
                </c:pt>
                <c:pt idx="3">
                  <c:v>cargo</c:v>
                </c:pt>
                <c:pt idx="4">
                  <c:v>colaborador</c:v>
                </c:pt>
                <c:pt idx="5">
                  <c:v>departamento</c:v>
                </c:pt>
                <c:pt idx="6">
                  <c:v>movimentacao_colaborador</c:v>
                </c:pt>
                <c:pt idx="7">
                  <c:v>participacao_treinamento</c:v>
                </c:pt>
                <c:pt idx="8">
                  <c:v>recrutamento_vaga</c:v>
                </c:pt>
                <c:pt idx="9">
                  <c:v>treinamento</c:v>
                </c:pt>
                <c:pt idx="10">
                  <c:v>turno</c:v>
                </c:pt>
                <c:pt idx="11">
                  <c:v>unidade_restaurante</c:v>
                </c:pt>
              </c:strCache>
            </c:strRef>
          </c:cat>
          <c:val>
            <c:numRef>
              <c:f>Mb!$C$4:$C$15</c:f>
              <c:numCache>
                <c:formatCode>_(* #,##0.00_);_(* \(#,##0.00\);_(* "-"??_);_(@_)</c:formatCode>
                <c:ptCount val="12"/>
                <c:pt idx="0">
                  <c:v>52.052734375</c:v>
                </c:pt>
                <c:pt idx="1">
                  <c:v>48.1337890625</c:v>
                </c:pt>
                <c:pt idx="2">
                  <c:v>39.859375</c:v>
                </c:pt>
                <c:pt idx="3">
                  <c:v>58.515625</c:v>
                </c:pt>
                <c:pt idx="4">
                  <c:v>90.1142578125</c:v>
                </c:pt>
                <c:pt idx="5">
                  <c:v>54.3076171875</c:v>
                </c:pt>
                <c:pt idx="6">
                  <c:v>55.759765625</c:v>
                </c:pt>
                <c:pt idx="7">
                  <c:v>34.40234375</c:v>
                </c:pt>
                <c:pt idx="8">
                  <c:v>93.5400390625</c:v>
                </c:pt>
                <c:pt idx="9">
                  <c:v>63.1298828125</c:v>
                </c:pt>
                <c:pt idx="10">
                  <c:v>39.68359375</c:v>
                </c:pt>
                <c:pt idx="11">
                  <c:v>33.3984375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3-4144-B5D3-F4EE81CCAD0B}"/>
            </c:ext>
          </c:extLst>
        </c:ser>
        <c:ser>
          <c:idx val="1"/>
          <c:order val="1"/>
          <c:tx>
            <c:strRef>
              <c:f>Mb!$D$3</c:f>
              <c:strCache>
                <c:ptCount val="1"/>
                <c:pt idx="0">
                  <c:v>parquet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Mb!$B$4:$B$15</c:f>
              <c:strCache>
                <c:ptCount val="12"/>
                <c:pt idx="0">
                  <c:v>ausencia</c:v>
                </c:pt>
                <c:pt idx="1">
                  <c:v>candidato</c:v>
                </c:pt>
                <c:pt idx="2">
                  <c:v>candidatura</c:v>
                </c:pt>
                <c:pt idx="3">
                  <c:v>cargo</c:v>
                </c:pt>
                <c:pt idx="4">
                  <c:v>colaborador</c:v>
                </c:pt>
                <c:pt idx="5">
                  <c:v>departamento</c:v>
                </c:pt>
                <c:pt idx="6">
                  <c:v>movimentacao_colaborador</c:v>
                </c:pt>
                <c:pt idx="7">
                  <c:v>participacao_treinamento</c:v>
                </c:pt>
                <c:pt idx="8">
                  <c:v>recrutamento_vaga</c:v>
                </c:pt>
                <c:pt idx="9">
                  <c:v>treinamento</c:v>
                </c:pt>
                <c:pt idx="10">
                  <c:v>turno</c:v>
                </c:pt>
                <c:pt idx="11">
                  <c:v>unidade_restaurante</c:v>
                </c:pt>
              </c:strCache>
            </c:strRef>
          </c:cat>
          <c:val>
            <c:numRef>
              <c:f>Mb!$D$4:$D$15</c:f>
              <c:numCache>
                <c:formatCode>_(* #,##0.00_);_(* \(#,##0.00\);_(* "-"??_);_(@_)</c:formatCode>
                <c:ptCount val="12"/>
                <c:pt idx="0">
                  <c:v>12.259765625</c:v>
                </c:pt>
                <c:pt idx="1">
                  <c:v>16.2373046875</c:v>
                </c:pt>
                <c:pt idx="2">
                  <c:v>10.9912109375</c:v>
                </c:pt>
                <c:pt idx="3">
                  <c:v>4.6572265625</c:v>
                </c:pt>
                <c:pt idx="4">
                  <c:v>34.8681640625</c:v>
                </c:pt>
                <c:pt idx="5">
                  <c:v>10.3232421875</c:v>
                </c:pt>
                <c:pt idx="6">
                  <c:v>22.2724609375</c:v>
                </c:pt>
                <c:pt idx="7">
                  <c:v>10.66796875</c:v>
                </c:pt>
                <c:pt idx="8">
                  <c:v>11.3671875</c:v>
                </c:pt>
                <c:pt idx="9">
                  <c:v>6.634765625</c:v>
                </c:pt>
                <c:pt idx="10">
                  <c:v>3.26953125</c:v>
                </c:pt>
                <c:pt idx="11">
                  <c:v>6.0791015625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43-4144-B5D3-F4EE81CCAD0B}"/>
            </c:ext>
          </c:extLst>
        </c:ser>
        <c:ser>
          <c:idx val="2"/>
          <c:order val="2"/>
          <c:tx>
            <c:strRef>
              <c:f>Mb!$E$3</c:f>
              <c:strCache>
                <c:ptCount val="1"/>
                <c:pt idx="0">
                  <c:v>avro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Mb!$B$4:$B$15</c:f>
              <c:strCache>
                <c:ptCount val="12"/>
                <c:pt idx="0">
                  <c:v>ausencia</c:v>
                </c:pt>
                <c:pt idx="1">
                  <c:v>candidato</c:v>
                </c:pt>
                <c:pt idx="2">
                  <c:v>candidatura</c:v>
                </c:pt>
                <c:pt idx="3">
                  <c:v>cargo</c:v>
                </c:pt>
                <c:pt idx="4">
                  <c:v>colaborador</c:v>
                </c:pt>
                <c:pt idx="5">
                  <c:v>departamento</c:v>
                </c:pt>
                <c:pt idx="6">
                  <c:v>movimentacao_colaborador</c:v>
                </c:pt>
                <c:pt idx="7">
                  <c:v>participacao_treinamento</c:v>
                </c:pt>
                <c:pt idx="8">
                  <c:v>recrutamento_vaga</c:v>
                </c:pt>
                <c:pt idx="9">
                  <c:v>treinamento</c:v>
                </c:pt>
                <c:pt idx="10">
                  <c:v>turno</c:v>
                </c:pt>
                <c:pt idx="11">
                  <c:v>unidade_restaurante</c:v>
                </c:pt>
              </c:strCache>
            </c:strRef>
          </c:cat>
          <c:val>
            <c:numRef>
              <c:f>Mb!$E$4:$E$15</c:f>
              <c:numCache>
                <c:formatCode>_(* #,##0.00_);_(* \(#,##0.00\);_(* "-"??_);_(@_)</c:formatCode>
                <c:ptCount val="12"/>
                <c:pt idx="0">
                  <c:v>77.880859375</c:v>
                </c:pt>
                <c:pt idx="1">
                  <c:v>75.412109375</c:v>
                </c:pt>
                <c:pt idx="2">
                  <c:v>68.08203125</c:v>
                </c:pt>
                <c:pt idx="3">
                  <c:v>83.8974609375</c:v>
                </c:pt>
                <c:pt idx="4">
                  <c:v>118.40234375</c:v>
                </c:pt>
                <c:pt idx="5">
                  <c:v>83.1328125</c:v>
                </c:pt>
                <c:pt idx="6">
                  <c:v>90.2109375</c:v>
                </c:pt>
                <c:pt idx="7">
                  <c:v>68.8251953125</c:v>
                </c:pt>
                <c:pt idx="8">
                  <c:v>124.689453125</c:v>
                </c:pt>
                <c:pt idx="9">
                  <c:v>91.3828125</c:v>
                </c:pt>
                <c:pt idx="10">
                  <c:v>65.041015625</c:v>
                </c:pt>
                <c:pt idx="11">
                  <c:v>65.4326171875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43-4144-B5D3-F4EE81CCAD0B}"/>
            </c:ext>
          </c:extLst>
        </c:ser>
        <c:ser>
          <c:idx val="3"/>
          <c:order val="3"/>
          <c:tx>
            <c:strRef>
              <c:f>Mb!$F$3</c:f>
              <c:strCache>
                <c:ptCount val="1"/>
                <c:pt idx="0">
                  <c:v>delta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Mb!$B$4:$B$15</c:f>
              <c:strCache>
                <c:ptCount val="12"/>
                <c:pt idx="0">
                  <c:v>ausencia</c:v>
                </c:pt>
                <c:pt idx="1">
                  <c:v>candidato</c:v>
                </c:pt>
                <c:pt idx="2">
                  <c:v>candidatura</c:v>
                </c:pt>
                <c:pt idx="3">
                  <c:v>cargo</c:v>
                </c:pt>
                <c:pt idx="4">
                  <c:v>colaborador</c:v>
                </c:pt>
                <c:pt idx="5">
                  <c:v>departamento</c:v>
                </c:pt>
                <c:pt idx="6">
                  <c:v>movimentacao_colaborador</c:v>
                </c:pt>
                <c:pt idx="7">
                  <c:v>participacao_treinamento</c:v>
                </c:pt>
                <c:pt idx="8">
                  <c:v>recrutamento_vaga</c:v>
                </c:pt>
                <c:pt idx="9">
                  <c:v>treinamento</c:v>
                </c:pt>
                <c:pt idx="10">
                  <c:v>turno</c:v>
                </c:pt>
                <c:pt idx="11">
                  <c:v>unidade_restaurante</c:v>
                </c:pt>
              </c:strCache>
            </c:strRef>
          </c:cat>
          <c:val>
            <c:numRef>
              <c:f>Mb!$F$4:$F$15</c:f>
              <c:numCache>
                <c:formatCode>_(* #,##0.00_);_(* \(#,##0.00\);_(* "-"??_);_(@_)</c:formatCode>
                <c:ptCount val="12"/>
                <c:pt idx="0">
                  <c:v>12.2</c:v>
                </c:pt>
                <c:pt idx="1">
                  <c:v>16.2</c:v>
                </c:pt>
                <c:pt idx="2">
                  <c:v>10.5</c:v>
                </c:pt>
                <c:pt idx="3">
                  <c:v>4.45</c:v>
                </c:pt>
                <c:pt idx="4">
                  <c:v>35</c:v>
                </c:pt>
                <c:pt idx="5">
                  <c:v>10.199999999999999</c:v>
                </c:pt>
                <c:pt idx="6">
                  <c:v>22.4</c:v>
                </c:pt>
                <c:pt idx="7">
                  <c:v>10.5</c:v>
                </c:pt>
                <c:pt idx="8">
                  <c:v>11.3</c:v>
                </c:pt>
                <c:pt idx="9">
                  <c:v>6.5</c:v>
                </c:pt>
                <c:pt idx="10">
                  <c:v>3.13</c:v>
                </c:pt>
                <c:pt idx="11">
                  <c:v>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43-4144-B5D3-F4EE81CCAD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81911631"/>
        <c:axId val="281898191"/>
      </c:barChart>
      <c:catAx>
        <c:axId val="28191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1898191"/>
        <c:crosses val="autoZero"/>
        <c:auto val="1"/>
        <c:lblAlgn val="ctr"/>
        <c:lblOffset val="100"/>
        <c:noMultiLvlLbl val="0"/>
      </c:catAx>
      <c:valAx>
        <c:axId val="28189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19116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Relação em Conversão do CSV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Mb!$C$18</c:f>
              <c:strCache>
                <c:ptCount val="1"/>
                <c:pt idx="0">
                  <c:v>parquet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Mb!$B$19:$B$30</c:f>
              <c:strCache>
                <c:ptCount val="12"/>
                <c:pt idx="0">
                  <c:v>unidade_restaurante</c:v>
                </c:pt>
                <c:pt idx="1">
                  <c:v>cargo</c:v>
                </c:pt>
                <c:pt idx="2">
                  <c:v>turno</c:v>
                </c:pt>
                <c:pt idx="3">
                  <c:v>departamento</c:v>
                </c:pt>
                <c:pt idx="4">
                  <c:v>colaborador</c:v>
                </c:pt>
                <c:pt idx="5">
                  <c:v>ausencia</c:v>
                </c:pt>
                <c:pt idx="6">
                  <c:v>movimentacao_colaborador</c:v>
                </c:pt>
                <c:pt idx="7">
                  <c:v>treinamento</c:v>
                </c:pt>
                <c:pt idx="8">
                  <c:v>participacao_treinamento</c:v>
                </c:pt>
                <c:pt idx="9">
                  <c:v>recrutamento_vaga</c:v>
                </c:pt>
                <c:pt idx="10">
                  <c:v>candidato</c:v>
                </c:pt>
                <c:pt idx="11">
                  <c:v>candidatura</c:v>
                </c:pt>
              </c:strCache>
            </c:strRef>
          </c:cat>
          <c:val>
            <c:numRef>
              <c:f>Mb!$C$19:$C$30</c:f>
              <c:numCache>
                <c:formatCode>0.00%</c:formatCode>
                <c:ptCount val="12"/>
                <c:pt idx="0">
                  <c:v>0.23552587144947656</c:v>
                </c:pt>
                <c:pt idx="1">
                  <c:v>0.33733693116111102</c:v>
                </c:pt>
                <c:pt idx="2">
                  <c:v>0.27574970599764798</c:v>
                </c:pt>
                <c:pt idx="3">
                  <c:v>7.9589452603471292E-2</c:v>
                </c:pt>
                <c:pt idx="4">
                  <c:v>0.38693282182992511</c:v>
                </c:pt>
                <c:pt idx="5">
                  <c:v>0.19008829188469906</c:v>
                </c:pt>
                <c:pt idx="6">
                  <c:v>0.39943605730498444</c:v>
                </c:pt>
                <c:pt idx="7">
                  <c:v>0.31009424321562395</c:v>
                </c:pt>
                <c:pt idx="8">
                  <c:v>0.1215221590019314</c:v>
                </c:pt>
                <c:pt idx="9">
                  <c:v>0.10509706860546059</c:v>
                </c:pt>
                <c:pt idx="10">
                  <c:v>8.2389999015651152E-2</c:v>
                </c:pt>
                <c:pt idx="11">
                  <c:v>0.18201754385964913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C-46F2-96BF-50AE05D7657B}"/>
            </c:ext>
          </c:extLst>
        </c:ser>
        <c:ser>
          <c:idx val="1"/>
          <c:order val="1"/>
          <c:tx>
            <c:strRef>
              <c:f>Mb!$D$18</c:f>
              <c:strCache>
                <c:ptCount val="1"/>
                <c:pt idx="0">
                  <c:v>avro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Mb!$B$19:$B$30</c:f>
              <c:strCache>
                <c:ptCount val="12"/>
                <c:pt idx="0">
                  <c:v>unidade_restaurante</c:v>
                </c:pt>
                <c:pt idx="1">
                  <c:v>cargo</c:v>
                </c:pt>
                <c:pt idx="2">
                  <c:v>turno</c:v>
                </c:pt>
                <c:pt idx="3">
                  <c:v>departamento</c:v>
                </c:pt>
                <c:pt idx="4">
                  <c:v>colaborador</c:v>
                </c:pt>
                <c:pt idx="5">
                  <c:v>ausencia</c:v>
                </c:pt>
                <c:pt idx="6">
                  <c:v>movimentacao_colaborador</c:v>
                </c:pt>
                <c:pt idx="7">
                  <c:v>treinamento</c:v>
                </c:pt>
                <c:pt idx="8">
                  <c:v>participacao_treinamento</c:v>
                </c:pt>
                <c:pt idx="9">
                  <c:v>recrutamento_vaga</c:v>
                </c:pt>
                <c:pt idx="10">
                  <c:v>candidato</c:v>
                </c:pt>
                <c:pt idx="11">
                  <c:v>candidatura</c:v>
                </c:pt>
              </c:strCache>
            </c:strRef>
          </c:cat>
          <c:val>
            <c:numRef>
              <c:f>Mb!$D$19:$D$30</c:f>
              <c:numCache>
                <c:formatCode>0.00%</c:formatCode>
                <c:ptCount val="12"/>
                <c:pt idx="0">
                  <c:v>1.4961915125136018</c:v>
                </c:pt>
                <c:pt idx="1">
                  <c:v>1.5667187404897644</c:v>
                </c:pt>
                <c:pt idx="2">
                  <c:v>1.7080556644453155</c:v>
                </c:pt>
                <c:pt idx="3">
                  <c:v>1.4337616822429906</c:v>
                </c:pt>
                <c:pt idx="4">
                  <c:v>1.3139135429196875</c:v>
                </c:pt>
                <c:pt idx="5">
                  <c:v>1.5307762852673032</c:v>
                </c:pt>
                <c:pt idx="6">
                  <c:v>1.6178500122596238</c:v>
                </c:pt>
                <c:pt idx="7">
                  <c:v>2.0005961167253323</c:v>
                </c:pt>
                <c:pt idx="8">
                  <c:v>1.3330062118285744</c:v>
                </c:pt>
                <c:pt idx="9">
                  <c:v>1.4475365457498646</c:v>
                </c:pt>
                <c:pt idx="10">
                  <c:v>1.6389900580765824</c:v>
                </c:pt>
                <c:pt idx="11">
                  <c:v>1.9591520467836256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C-46F2-96BF-50AE05D7657B}"/>
            </c:ext>
          </c:extLst>
        </c:ser>
        <c:ser>
          <c:idx val="2"/>
          <c:order val="2"/>
          <c:tx>
            <c:strRef>
              <c:f>Mb!$E$18</c:f>
              <c:strCache>
                <c:ptCount val="1"/>
                <c:pt idx="0">
                  <c:v>delta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Mb!$B$19:$B$30</c:f>
              <c:strCache>
                <c:ptCount val="12"/>
                <c:pt idx="0">
                  <c:v>unidade_restaurante</c:v>
                </c:pt>
                <c:pt idx="1">
                  <c:v>cargo</c:v>
                </c:pt>
                <c:pt idx="2">
                  <c:v>turno</c:v>
                </c:pt>
                <c:pt idx="3">
                  <c:v>departamento</c:v>
                </c:pt>
                <c:pt idx="4">
                  <c:v>colaborador</c:v>
                </c:pt>
                <c:pt idx="5">
                  <c:v>ausencia</c:v>
                </c:pt>
                <c:pt idx="6">
                  <c:v>movimentacao_colaborador</c:v>
                </c:pt>
                <c:pt idx="7">
                  <c:v>treinamento</c:v>
                </c:pt>
                <c:pt idx="8">
                  <c:v>participacao_treinamento</c:v>
                </c:pt>
                <c:pt idx="9">
                  <c:v>recrutamento_vaga</c:v>
                </c:pt>
                <c:pt idx="10">
                  <c:v>candidato</c:v>
                </c:pt>
                <c:pt idx="11">
                  <c:v>candidatura</c:v>
                </c:pt>
              </c:strCache>
            </c:strRef>
          </c:cat>
          <c:val>
            <c:numRef>
              <c:f>Mb!$E$19:$E$30</c:f>
              <c:numCache>
                <c:formatCode>0.00%</c:formatCode>
                <c:ptCount val="12"/>
                <c:pt idx="0">
                  <c:v>0.23437769689692692</c:v>
                </c:pt>
                <c:pt idx="1">
                  <c:v>0.3365619103653959</c:v>
                </c:pt>
                <c:pt idx="2">
                  <c:v>0.26342610740885924</c:v>
                </c:pt>
                <c:pt idx="3">
                  <c:v>7.6048064085447273E-2</c:v>
                </c:pt>
                <c:pt idx="4">
                  <c:v>0.38839580827291742</c:v>
                </c:pt>
                <c:pt idx="5">
                  <c:v>0.18781895668123211</c:v>
                </c:pt>
                <c:pt idx="6">
                  <c:v>0.40172335283197308</c:v>
                </c:pt>
                <c:pt idx="7">
                  <c:v>0.30521176337004657</c:v>
                </c:pt>
                <c:pt idx="8">
                  <c:v>0.12080388369786502</c:v>
                </c:pt>
                <c:pt idx="9">
                  <c:v>0.10296233274035115</c:v>
                </c:pt>
                <c:pt idx="10">
                  <c:v>7.8873904911900772E-2</c:v>
                </c:pt>
                <c:pt idx="11">
                  <c:v>0.17815204678362573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2C-46F2-96BF-50AE05D765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19222447"/>
        <c:axId val="419231567"/>
      </c:barChart>
      <c:catAx>
        <c:axId val="41922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9231567"/>
        <c:crosses val="autoZero"/>
        <c:auto val="1"/>
        <c:lblAlgn val="ctr"/>
        <c:lblOffset val="100"/>
        <c:noMultiLvlLbl val="0"/>
      </c:catAx>
      <c:valAx>
        <c:axId val="41923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92224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1</xdr:row>
      <xdr:rowOff>4761</xdr:rowOff>
    </xdr:from>
    <xdr:to>
      <xdr:col>29</xdr:col>
      <xdr:colOff>342900</xdr:colOff>
      <xdr:row>30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AC6EBD-753E-103B-29A6-ACFDC8A76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581025</xdr:colOff>
      <xdr:row>31</xdr:row>
      <xdr:rowOff>90486</xdr:rowOff>
    </xdr:from>
    <xdr:to>
      <xdr:col>29</xdr:col>
      <xdr:colOff>352425</xdr:colOff>
      <xdr:row>52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D94264-5000-F051-C03B-2EAE674D4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185736</xdr:rowOff>
    </xdr:from>
    <xdr:to>
      <xdr:col>27</xdr:col>
      <xdr:colOff>0</xdr:colOff>
      <xdr:row>29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D19436-0854-069D-86A9-6FAEECF68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</xdr:colOff>
      <xdr:row>31</xdr:row>
      <xdr:rowOff>42862</xdr:rowOff>
    </xdr:from>
    <xdr:to>
      <xdr:col>26</xdr:col>
      <xdr:colOff>581025</xdr:colOff>
      <xdr:row>49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953417-4A62-8F2F-B427-FA4965B06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94A2BB-B20A-4D3A-8B4E-299677BBD9F3}" name="Tabela1" displayName="Tabela1" ref="B3:F15" totalsRowShown="0" dataDxfId="24" dataCellStyle="Vírgula">
  <autoFilter ref="B3:F15" xr:uid="{0C94A2BB-B20A-4D3A-8B4E-299677BBD9F3}"/>
  <sortState xmlns:xlrd2="http://schemas.microsoft.com/office/spreadsheetml/2017/richdata2" ref="B4:F15">
    <sortCondition ref="B3:B15"/>
  </sortState>
  <tableColumns count="5">
    <tableColumn id="1" xr3:uid="{36C1F9B1-C309-439B-8952-80588E2567BD}" name="tabela"/>
    <tableColumn id="2" xr3:uid="{7FA04B57-274E-412F-B70D-8168D18FC01C}" name="csv" dataDxfId="27" dataCellStyle="Vírgula"/>
    <tableColumn id="3" xr3:uid="{4791CA21-04AE-4B3D-9520-61352FFDECF8}" name="parquet" dataDxfId="26" dataCellStyle="Vírgula"/>
    <tableColumn id="4" xr3:uid="{CA045BCF-46CD-4594-A59A-126CAD6C1E0E}" name="avro" dataDxfId="25" dataCellStyle="Vírgula"/>
    <tableColumn id="5" xr3:uid="{0274268B-0CA0-4C72-A5A0-CBD0F0002911}" name="delta" dataDxfId="18" dataCellStyle="Vírgula">
      <calculatedColumnFormula>12.2*1024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F46EE7-34E0-45F0-A448-B2B01D6A598F}" name="Tabela2" displayName="Tabela2" ref="B18:E30" totalsRowShown="0" headerRowDxfId="19" dataDxfId="20" headerRowBorderDxfId="22" tableBorderDxfId="23" totalsRowBorderDxfId="21" dataCellStyle="Vírgula">
  <autoFilter ref="B18:E30" xr:uid="{8DF46EE7-34E0-45F0-A448-B2B01D6A598F}"/>
  <tableColumns count="4">
    <tableColumn id="1" xr3:uid="{ABC604BD-5EC4-4D12-9D54-AF6CF4F848BB}" name="tabela" dataDxfId="17"/>
    <tableColumn id="2" xr3:uid="{C605F9B0-5E73-48AC-B214-1E87F499F9B1}" name="parquet" dataDxfId="16" dataCellStyle="Porcentagem">
      <calculatedColumnFormula>D4/C4</calculatedColumnFormula>
    </tableColumn>
    <tableColumn id="3" xr3:uid="{632942FA-9FEB-4AC9-9362-3B7239D8D36A}" name="avro" dataDxfId="15" dataCellStyle="Porcentagem">
      <calculatedColumnFormula>E4/C4</calculatedColumnFormula>
    </tableColumn>
    <tableColumn id="4" xr3:uid="{C7713DD9-586F-4B53-A565-C35C523637CA}" name="delta" dataDxfId="14" dataCellStyle="Porcentagem">
      <calculatedColumnFormula>F4/C4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B1D5B6-EBFF-4BD4-8E3E-0369F7D2209A}" name="Tabela14" displayName="Tabela14" ref="B3:F15" totalsRowShown="0" dataDxfId="13" dataCellStyle="Vírgula">
  <autoFilter ref="B3:F15" xr:uid="{61B1D5B6-EBFF-4BD4-8E3E-0369F7D2209A}"/>
  <sortState xmlns:xlrd2="http://schemas.microsoft.com/office/spreadsheetml/2017/richdata2" ref="B4:F15">
    <sortCondition ref="B3:B15"/>
  </sortState>
  <tableColumns count="5">
    <tableColumn id="1" xr3:uid="{76019904-1393-4798-8E37-EE5C53E3BB58}" name="tabela"/>
    <tableColumn id="2" xr3:uid="{9C53E189-FAAC-4892-A5C8-573D2DC15959}" name="csv" dataDxfId="12" dataCellStyle="Vírgula">
      <calculatedColumnFormula>Tabela1[[#This Row],[csv]]/1024</calculatedColumnFormula>
    </tableColumn>
    <tableColumn id="3" xr3:uid="{098DD747-2CC3-4D19-B618-4B52D30C059A}" name="parquet" dataDxfId="11" dataCellStyle="Vírgula">
      <calculatedColumnFormula>Tabela1[[#This Row],[parquet]]/1024</calculatedColumnFormula>
    </tableColumn>
    <tableColumn id="4" xr3:uid="{F5EEF9A3-B874-4EB0-8E06-13C68AB0D1F6}" name="avro" dataDxfId="10" dataCellStyle="Vírgula">
      <calculatedColumnFormula>Tabela1[[#This Row],[avro]]/1024</calculatedColumnFormula>
    </tableColumn>
    <tableColumn id="5" xr3:uid="{117B52C5-EFFF-434E-AFFA-E9BF209F2AC6}" name="delta" dataDxfId="9" dataCellStyle="Vírgula">
      <calculatedColumnFormula>Tabela1[[#This Row],[delta]]/1024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7927B3-89CB-4B89-A682-C81C012B7FE6}" name="Tabela25" displayName="Tabela25" ref="B18:E30" totalsRowShown="0" headerRowDxfId="8" dataDxfId="7" headerRowBorderDxfId="5" tableBorderDxfId="6" totalsRowBorderDxfId="4" dataCellStyle="Vírgula">
  <autoFilter ref="B18:E30" xr:uid="{E57927B3-89CB-4B89-A682-C81C012B7FE6}"/>
  <tableColumns count="4">
    <tableColumn id="1" xr3:uid="{A8E892BD-6203-4B53-B6F4-919E62E6FB3C}" name="tabela" dataDxfId="3"/>
    <tableColumn id="2" xr3:uid="{2497F614-D3F3-49CC-99A6-FEEB23593CD9}" name="parquet" dataDxfId="2" dataCellStyle="Porcentagem">
      <calculatedColumnFormula>D4/C4</calculatedColumnFormula>
    </tableColumn>
    <tableColumn id="3" xr3:uid="{02336560-2F43-46A8-859A-1302FF79E55F}" name="avro" dataDxfId="1" dataCellStyle="Porcentagem">
      <calculatedColumnFormula>E4/C4</calculatedColumnFormula>
    </tableColumn>
    <tableColumn id="4" xr3:uid="{A4F1564A-D051-4F45-B72E-511A85A1FE6D}" name="delta" dataDxfId="0" dataCellStyle="Porcentagem">
      <calculatedColumnFormula>F4/C4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2A86-AB9F-4DD0-A64F-FD49BAF7FE07}">
  <dimension ref="B2:F30"/>
  <sheetViews>
    <sheetView showGridLines="0" tabSelected="1" workbookViewId="0">
      <selection activeCell="AF42" sqref="AF42"/>
    </sheetView>
  </sheetViews>
  <sheetFormatPr defaultRowHeight="15" x14ac:dyDescent="0.25"/>
  <cols>
    <col min="2" max="2" width="26.5703125" bestFit="1" customWidth="1"/>
    <col min="3" max="4" width="13.28515625" bestFit="1" customWidth="1"/>
    <col min="5" max="6" width="10.85546875" bestFit="1" customWidth="1"/>
  </cols>
  <sheetData>
    <row r="2" spans="2:6" x14ac:dyDescent="0.25">
      <c r="B2" s="3" t="s">
        <v>13</v>
      </c>
      <c r="C2" s="4"/>
      <c r="D2" s="4"/>
      <c r="E2" s="4"/>
      <c r="F2" s="4"/>
    </row>
    <row r="3" spans="2:6" x14ac:dyDescent="0.25">
      <c r="B3" t="s">
        <v>0</v>
      </c>
      <c r="C3" t="s">
        <v>16</v>
      </c>
      <c r="D3" t="s">
        <v>17</v>
      </c>
      <c r="E3" t="s">
        <v>18</v>
      </c>
      <c r="F3" t="s">
        <v>19</v>
      </c>
    </row>
    <row r="4" spans="2:6" x14ac:dyDescent="0.25">
      <c r="B4" t="s">
        <v>6</v>
      </c>
      <c r="C4" s="2">
        <v>53302</v>
      </c>
      <c r="D4" s="2">
        <v>12554</v>
      </c>
      <c r="E4" s="2">
        <v>79750</v>
      </c>
      <c r="F4" s="2">
        <f t="shared" ref="F4:F15" si="0">12.2*1024</f>
        <v>12492.8</v>
      </c>
    </row>
    <row r="5" spans="2:6" x14ac:dyDescent="0.25">
      <c r="B5" t="s">
        <v>11</v>
      </c>
      <c r="C5" s="2">
        <v>49289</v>
      </c>
      <c r="D5" s="2">
        <v>16627</v>
      </c>
      <c r="E5" s="2">
        <v>77222</v>
      </c>
      <c r="F5" s="2">
        <f>16.2*1024</f>
        <v>16588.8</v>
      </c>
    </row>
    <row r="6" spans="2:6" x14ac:dyDescent="0.25">
      <c r="B6" t="s">
        <v>12</v>
      </c>
      <c r="C6" s="2">
        <v>40816</v>
      </c>
      <c r="D6" s="2">
        <v>11255</v>
      </c>
      <c r="E6" s="2">
        <v>69716</v>
      </c>
      <c r="F6" s="2">
        <f>10.5*1024</f>
        <v>10752</v>
      </c>
    </row>
    <row r="7" spans="2:6" x14ac:dyDescent="0.25">
      <c r="B7" t="s">
        <v>2</v>
      </c>
      <c r="C7" s="2">
        <v>59920</v>
      </c>
      <c r="D7" s="2">
        <v>4769</v>
      </c>
      <c r="E7" s="2">
        <v>85911</v>
      </c>
      <c r="F7" s="2">
        <f>4.45*1024</f>
        <v>4556.8</v>
      </c>
    </row>
    <row r="8" spans="2:6" x14ac:dyDescent="0.25">
      <c r="B8" t="s">
        <v>5</v>
      </c>
      <c r="C8" s="2">
        <v>92277</v>
      </c>
      <c r="D8" s="2">
        <v>35705</v>
      </c>
      <c r="E8" s="2">
        <v>121244</v>
      </c>
      <c r="F8" s="2">
        <f>35*1024</f>
        <v>35840</v>
      </c>
    </row>
    <row r="9" spans="2:6" x14ac:dyDescent="0.25">
      <c r="B9" t="s">
        <v>4</v>
      </c>
      <c r="C9" s="2">
        <v>55611</v>
      </c>
      <c r="D9" s="2">
        <v>10571</v>
      </c>
      <c r="E9" s="2">
        <v>85128</v>
      </c>
      <c r="F9" s="2">
        <f>10.2*1024</f>
        <v>10444.799999999999</v>
      </c>
    </row>
    <row r="10" spans="2:6" x14ac:dyDescent="0.25">
      <c r="B10" t="s">
        <v>7</v>
      </c>
      <c r="C10" s="2">
        <v>57098</v>
      </c>
      <c r="D10" s="2">
        <v>22807</v>
      </c>
      <c r="E10" s="2">
        <v>92376</v>
      </c>
      <c r="F10" s="2">
        <f>22.4*1024</f>
        <v>22937.599999999999</v>
      </c>
    </row>
    <row r="11" spans="2:6" x14ac:dyDescent="0.25">
      <c r="B11" t="s">
        <v>9</v>
      </c>
      <c r="C11" s="2">
        <v>35228</v>
      </c>
      <c r="D11" s="2">
        <v>10924</v>
      </c>
      <c r="E11" s="2">
        <v>70477</v>
      </c>
      <c r="F11" s="2">
        <f>10.5*1024</f>
        <v>10752</v>
      </c>
    </row>
    <row r="12" spans="2:6" x14ac:dyDescent="0.25">
      <c r="B12" t="s">
        <v>10</v>
      </c>
      <c r="C12" s="2">
        <v>95785</v>
      </c>
      <c r="D12" s="2">
        <v>11640</v>
      </c>
      <c r="E12" s="2">
        <v>127682</v>
      </c>
      <c r="F12" s="2">
        <f>11.3*1024</f>
        <v>11571.2</v>
      </c>
    </row>
    <row r="13" spans="2:6" x14ac:dyDescent="0.25">
      <c r="B13" t="s">
        <v>8</v>
      </c>
      <c r="C13" s="2">
        <v>64645</v>
      </c>
      <c r="D13" s="2">
        <v>6794</v>
      </c>
      <c r="E13" s="2">
        <v>93576</v>
      </c>
      <c r="F13" s="2">
        <f>6.5*1024</f>
        <v>6656</v>
      </c>
    </row>
    <row r="14" spans="2:6" x14ac:dyDescent="0.25">
      <c r="B14" t="s">
        <v>3</v>
      </c>
      <c r="C14" s="2">
        <v>40636</v>
      </c>
      <c r="D14" s="2">
        <v>3348</v>
      </c>
      <c r="E14" s="2">
        <v>66602</v>
      </c>
      <c r="F14" s="2">
        <f>3.13*1024</f>
        <v>3205.12</v>
      </c>
    </row>
    <row r="15" spans="2:6" x14ac:dyDescent="0.25">
      <c r="B15" t="s">
        <v>1</v>
      </c>
      <c r="C15" s="2">
        <v>34200</v>
      </c>
      <c r="D15" s="2">
        <v>6225</v>
      </c>
      <c r="E15" s="2">
        <v>67003</v>
      </c>
      <c r="F15" s="2">
        <f>5.95*1024</f>
        <v>6092.8</v>
      </c>
    </row>
    <row r="17" spans="2:5" x14ac:dyDescent="0.25">
      <c r="B17" s="3" t="s">
        <v>14</v>
      </c>
      <c r="C17" s="4"/>
      <c r="D17" s="4"/>
      <c r="E17" s="4"/>
    </row>
    <row r="18" spans="2:5" x14ac:dyDescent="0.25">
      <c r="B18" s="7" t="s">
        <v>0</v>
      </c>
      <c r="C18" s="7" t="s">
        <v>17</v>
      </c>
      <c r="D18" s="7" t="s">
        <v>18</v>
      </c>
      <c r="E18" s="7" t="s">
        <v>19</v>
      </c>
    </row>
    <row r="19" spans="2:5" x14ac:dyDescent="0.25">
      <c r="B19" s="5" t="s">
        <v>1</v>
      </c>
      <c r="C19" s="9">
        <f t="shared" ref="C19:C30" si="1">D4/C4</f>
        <v>0.23552587144947656</v>
      </c>
      <c r="D19" s="9">
        <f t="shared" ref="D19:D30" si="2">E4/C4</f>
        <v>1.4961915125136018</v>
      </c>
      <c r="E19" s="9">
        <f t="shared" ref="E19:E30" si="3">F4/C4</f>
        <v>0.23437769689692692</v>
      </c>
    </row>
    <row r="20" spans="2:5" x14ac:dyDescent="0.25">
      <c r="B20" s="6" t="s">
        <v>2</v>
      </c>
      <c r="C20" s="10">
        <f t="shared" si="1"/>
        <v>0.33733693116111102</v>
      </c>
      <c r="D20" s="10">
        <f t="shared" si="2"/>
        <v>1.5667187404897644</v>
      </c>
      <c r="E20" s="10">
        <f t="shared" si="3"/>
        <v>0.3365619103653959</v>
      </c>
    </row>
    <row r="21" spans="2:5" x14ac:dyDescent="0.25">
      <c r="B21" s="5" t="s">
        <v>3</v>
      </c>
      <c r="C21" s="9">
        <f t="shared" si="1"/>
        <v>0.27574970599764798</v>
      </c>
      <c r="D21" s="9">
        <f t="shared" si="2"/>
        <v>1.7080556644453155</v>
      </c>
      <c r="E21" s="9">
        <f t="shared" si="3"/>
        <v>0.26342610740885924</v>
      </c>
    </row>
    <row r="22" spans="2:5" x14ac:dyDescent="0.25">
      <c r="B22" s="6" t="s">
        <v>4</v>
      </c>
      <c r="C22" s="10">
        <f t="shared" si="1"/>
        <v>7.9589452603471292E-2</v>
      </c>
      <c r="D22" s="10">
        <f t="shared" si="2"/>
        <v>1.4337616822429906</v>
      </c>
      <c r="E22" s="10">
        <f t="shared" si="3"/>
        <v>7.6048064085447273E-2</v>
      </c>
    </row>
    <row r="23" spans="2:5" x14ac:dyDescent="0.25">
      <c r="B23" s="5" t="s">
        <v>5</v>
      </c>
      <c r="C23" s="9">
        <f t="shared" si="1"/>
        <v>0.38693282182992511</v>
      </c>
      <c r="D23" s="9">
        <f t="shared" si="2"/>
        <v>1.3139135429196875</v>
      </c>
      <c r="E23" s="9">
        <f t="shared" si="3"/>
        <v>0.38839580827291742</v>
      </c>
    </row>
    <row r="24" spans="2:5" x14ac:dyDescent="0.25">
      <c r="B24" s="6" t="s">
        <v>6</v>
      </c>
      <c r="C24" s="10">
        <f t="shared" si="1"/>
        <v>0.19008829188469906</v>
      </c>
      <c r="D24" s="10">
        <f t="shared" si="2"/>
        <v>1.5307762852673032</v>
      </c>
      <c r="E24" s="10">
        <f t="shared" si="3"/>
        <v>0.18781895668123211</v>
      </c>
    </row>
    <row r="25" spans="2:5" x14ac:dyDescent="0.25">
      <c r="B25" s="5" t="s">
        <v>7</v>
      </c>
      <c r="C25" s="9">
        <f t="shared" si="1"/>
        <v>0.39943605730498444</v>
      </c>
      <c r="D25" s="9">
        <f t="shared" si="2"/>
        <v>1.6178500122596238</v>
      </c>
      <c r="E25" s="9">
        <f t="shared" si="3"/>
        <v>0.40172335283197308</v>
      </c>
    </row>
    <row r="26" spans="2:5" x14ac:dyDescent="0.25">
      <c r="B26" s="6" t="s">
        <v>8</v>
      </c>
      <c r="C26" s="10">
        <f t="shared" si="1"/>
        <v>0.31009424321562395</v>
      </c>
      <c r="D26" s="10">
        <f t="shared" si="2"/>
        <v>2.0005961167253323</v>
      </c>
      <c r="E26" s="10">
        <f t="shared" si="3"/>
        <v>0.30521176337004657</v>
      </c>
    </row>
    <row r="27" spans="2:5" x14ac:dyDescent="0.25">
      <c r="B27" s="5" t="s">
        <v>9</v>
      </c>
      <c r="C27" s="9">
        <f t="shared" si="1"/>
        <v>0.1215221590019314</v>
      </c>
      <c r="D27" s="9">
        <f t="shared" si="2"/>
        <v>1.3330062118285744</v>
      </c>
      <c r="E27" s="9">
        <f t="shared" si="3"/>
        <v>0.12080388369786502</v>
      </c>
    </row>
    <row r="28" spans="2:5" x14ac:dyDescent="0.25">
      <c r="B28" s="6" t="s">
        <v>10</v>
      </c>
      <c r="C28" s="10">
        <f t="shared" si="1"/>
        <v>0.10509706860546059</v>
      </c>
      <c r="D28" s="10">
        <f t="shared" si="2"/>
        <v>1.4475365457498646</v>
      </c>
      <c r="E28" s="10">
        <f t="shared" si="3"/>
        <v>0.10296233274035115</v>
      </c>
    </row>
    <row r="29" spans="2:5" x14ac:dyDescent="0.25">
      <c r="B29" s="5" t="s">
        <v>11</v>
      </c>
      <c r="C29" s="9">
        <f t="shared" si="1"/>
        <v>8.2389999015651152E-2</v>
      </c>
      <c r="D29" s="9">
        <f t="shared" si="2"/>
        <v>1.6389900580765824</v>
      </c>
      <c r="E29" s="9">
        <f t="shared" si="3"/>
        <v>7.8873904911900772E-2</v>
      </c>
    </row>
    <row r="30" spans="2:5" x14ac:dyDescent="0.25">
      <c r="B30" s="8" t="s">
        <v>12</v>
      </c>
      <c r="C30" s="11">
        <f t="shared" si="1"/>
        <v>0.18201754385964913</v>
      </c>
      <c r="D30" s="11">
        <f t="shared" si="2"/>
        <v>1.9591520467836256</v>
      </c>
      <c r="E30" s="11">
        <f t="shared" si="3"/>
        <v>0.17815204678362573</v>
      </c>
    </row>
  </sheetData>
  <mergeCells count="2">
    <mergeCell ref="B2:F2"/>
    <mergeCell ref="B17:E17"/>
  </mergeCell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E6D8-95E3-498A-AA10-233433863284}">
  <dimension ref="B2:F30"/>
  <sheetViews>
    <sheetView workbookViewId="0">
      <selection activeCell="AD34" sqref="AD34"/>
    </sheetView>
  </sheetViews>
  <sheetFormatPr defaultRowHeight="15" x14ac:dyDescent="0.25"/>
  <cols>
    <col min="2" max="2" width="26.5703125" bestFit="1" customWidth="1"/>
    <col min="3" max="4" width="13.28515625" bestFit="1" customWidth="1"/>
    <col min="5" max="6" width="10.85546875" bestFit="1" customWidth="1"/>
  </cols>
  <sheetData>
    <row r="2" spans="2:6" x14ac:dyDescent="0.25">
      <c r="B2" s="3" t="s">
        <v>15</v>
      </c>
      <c r="C2" s="4"/>
      <c r="D2" s="4"/>
      <c r="E2" s="4"/>
      <c r="F2" s="4"/>
    </row>
    <row r="3" spans="2:6" x14ac:dyDescent="0.25">
      <c r="B3" t="s">
        <v>0</v>
      </c>
      <c r="C3" t="s">
        <v>16</v>
      </c>
      <c r="D3" t="s">
        <v>17</v>
      </c>
      <c r="E3" t="s">
        <v>18</v>
      </c>
      <c r="F3" t="s">
        <v>19</v>
      </c>
    </row>
    <row r="4" spans="2:6" x14ac:dyDescent="0.25">
      <c r="B4" t="s">
        <v>6</v>
      </c>
      <c r="C4" s="1">
        <f>Tabela1[[#This Row],[csv]]/1024</f>
        <v>52.052734375</v>
      </c>
      <c r="D4" s="1">
        <f>Tabela1[[#This Row],[parquet]]/1024</f>
        <v>12.259765625</v>
      </c>
      <c r="E4" s="1">
        <f>Tabela1[[#This Row],[avro]]/1024</f>
        <v>77.880859375</v>
      </c>
      <c r="F4" s="1">
        <f>Tabela1[[#This Row],[delta]]/1024</f>
        <v>12.2</v>
      </c>
    </row>
    <row r="5" spans="2:6" x14ac:dyDescent="0.25">
      <c r="B5" t="s">
        <v>11</v>
      </c>
      <c r="C5" s="1">
        <f>Tabela1[[#This Row],[csv]]/1024</f>
        <v>48.1337890625</v>
      </c>
      <c r="D5" s="1">
        <f>Tabela1[[#This Row],[parquet]]/1024</f>
        <v>16.2373046875</v>
      </c>
      <c r="E5" s="1">
        <f>Tabela1[[#This Row],[avro]]/1024</f>
        <v>75.412109375</v>
      </c>
      <c r="F5" s="1">
        <f>Tabela1[[#This Row],[delta]]/1024</f>
        <v>16.2</v>
      </c>
    </row>
    <row r="6" spans="2:6" x14ac:dyDescent="0.25">
      <c r="B6" t="s">
        <v>12</v>
      </c>
      <c r="C6" s="1">
        <f>Tabela1[[#This Row],[csv]]/1024</f>
        <v>39.859375</v>
      </c>
      <c r="D6" s="1">
        <f>Tabela1[[#This Row],[parquet]]/1024</f>
        <v>10.9912109375</v>
      </c>
      <c r="E6" s="1">
        <f>Tabela1[[#This Row],[avro]]/1024</f>
        <v>68.08203125</v>
      </c>
      <c r="F6" s="1">
        <f>Tabela1[[#This Row],[delta]]/1024</f>
        <v>10.5</v>
      </c>
    </row>
    <row r="7" spans="2:6" x14ac:dyDescent="0.25">
      <c r="B7" t="s">
        <v>2</v>
      </c>
      <c r="C7" s="1">
        <f>Tabela1[[#This Row],[csv]]/1024</f>
        <v>58.515625</v>
      </c>
      <c r="D7" s="1">
        <f>Tabela1[[#This Row],[parquet]]/1024</f>
        <v>4.6572265625</v>
      </c>
      <c r="E7" s="1">
        <f>Tabela1[[#This Row],[avro]]/1024</f>
        <v>83.8974609375</v>
      </c>
      <c r="F7" s="1">
        <f>Tabela1[[#This Row],[delta]]/1024</f>
        <v>4.45</v>
      </c>
    </row>
    <row r="8" spans="2:6" x14ac:dyDescent="0.25">
      <c r="B8" t="s">
        <v>5</v>
      </c>
      <c r="C8" s="1">
        <f>Tabela1[[#This Row],[csv]]/1024</f>
        <v>90.1142578125</v>
      </c>
      <c r="D8" s="1">
        <f>Tabela1[[#This Row],[parquet]]/1024</f>
        <v>34.8681640625</v>
      </c>
      <c r="E8" s="1">
        <f>Tabela1[[#This Row],[avro]]/1024</f>
        <v>118.40234375</v>
      </c>
      <c r="F8" s="1">
        <f>Tabela1[[#This Row],[delta]]/1024</f>
        <v>35</v>
      </c>
    </row>
    <row r="9" spans="2:6" x14ac:dyDescent="0.25">
      <c r="B9" t="s">
        <v>4</v>
      </c>
      <c r="C9" s="1">
        <f>Tabela1[[#This Row],[csv]]/1024</f>
        <v>54.3076171875</v>
      </c>
      <c r="D9" s="1">
        <f>Tabela1[[#This Row],[parquet]]/1024</f>
        <v>10.3232421875</v>
      </c>
      <c r="E9" s="1">
        <f>Tabela1[[#This Row],[avro]]/1024</f>
        <v>83.1328125</v>
      </c>
      <c r="F9" s="1">
        <f>Tabela1[[#This Row],[delta]]/1024</f>
        <v>10.199999999999999</v>
      </c>
    </row>
    <row r="10" spans="2:6" x14ac:dyDescent="0.25">
      <c r="B10" t="s">
        <v>7</v>
      </c>
      <c r="C10" s="1">
        <f>Tabela1[[#This Row],[csv]]/1024</f>
        <v>55.759765625</v>
      </c>
      <c r="D10" s="1">
        <f>Tabela1[[#This Row],[parquet]]/1024</f>
        <v>22.2724609375</v>
      </c>
      <c r="E10" s="1">
        <f>Tabela1[[#This Row],[avro]]/1024</f>
        <v>90.2109375</v>
      </c>
      <c r="F10" s="1">
        <f>Tabela1[[#This Row],[delta]]/1024</f>
        <v>22.4</v>
      </c>
    </row>
    <row r="11" spans="2:6" x14ac:dyDescent="0.25">
      <c r="B11" t="s">
        <v>9</v>
      </c>
      <c r="C11" s="1">
        <f>Tabela1[[#This Row],[csv]]/1024</f>
        <v>34.40234375</v>
      </c>
      <c r="D11" s="1">
        <f>Tabela1[[#This Row],[parquet]]/1024</f>
        <v>10.66796875</v>
      </c>
      <c r="E11" s="1">
        <f>Tabela1[[#This Row],[avro]]/1024</f>
        <v>68.8251953125</v>
      </c>
      <c r="F11" s="1">
        <f>Tabela1[[#This Row],[delta]]/1024</f>
        <v>10.5</v>
      </c>
    </row>
    <row r="12" spans="2:6" x14ac:dyDescent="0.25">
      <c r="B12" t="s">
        <v>10</v>
      </c>
      <c r="C12" s="1">
        <f>Tabela1[[#This Row],[csv]]/1024</f>
        <v>93.5400390625</v>
      </c>
      <c r="D12" s="1">
        <f>Tabela1[[#This Row],[parquet]]/1024</f>
        <v>11.3671875</v>
      </c>
      <c r="E12" s="1">
        <f>Tabela1[[#This Row],[avro]]/1024</f>
        <v>124.689453125</v>
      </c>
      <c r="F12" s="1">
        <f>Tabela1[[#This Row],[delta]]/1024</f>
        <v>11.3</v>
      </c>
    </row>
    <row r="13" spans="2:6" x14ac:dyDescent="0.25">
      <c r="B13" t="s">
        <v>8</v>
      </c>
      <c r="C13" s="1">
        <f>Tabela1[[#This Row],[csv]]/1024</f>
        <v>63.1298828125</v>
      </c>
      <c r="D13" s="1">
        <f>Tabela1[[#This Row],[parquet]]/1024</f>
        <v>6.634765625</v>
      </c>
      <c r="E13" s="1">
        <f>Tabela1[[#This Row],[avro]]/1024</f>
        <v>91.3828125</v>
      </c>
      <c r="F13" s="1">
        <f>Tabela1[[#This Row],[delta]]/1024</f>
        <v>6.5</v>
      </c>
    </row>
    <row r="14" spans="2:6" x14ac:dyDescent="0.25">
      <c r="B14" t="s">
        <v>3</v>
      </c>
      <c r="C14" s="1">
        <f>Tabela1[[#This Row],[csv]]/1024</f>
        <v>39.68359375</v>
      </c>
      <c r="D14" s="1">
        <f>Tabela1[[#This Row],[parquet]]/1024</f>
        <v>3.26953125</v>
      </c>
      <c r="E14" s="1">
        <f>Tabela1[[#This Row],[avro]]/1024</f>
        <v>65.041015625</v>
      </c>
      <c r="F14" s="1">
        <f>Tabela1[[#This Row],[delta]]/1024</f>
        <v>3.13</v>
      </c>
    </row>
    <row r="15" spans="2:6" x14ac:dyDescent="0.25">
      <c r="B15" t="s">
        <v>1</v>
      </c>
      <c r="C15" s="1">
        <f>Tabela1[[#This Row],[csv]]/1024</f>
        <v>33.3984375</v>
      </c>
      <c r="D15" s="1">
        <f>Tabela1[[#This Row],[parquet]]/1024</f>
        <v>6.0791015625</v>
      </c>
      <c r="E15" s="1">
        <f>Tabela1[[#This Row],[avro]]/1024</f>
        <v>65.4326171875</v>
      </c>
      <c r="F15" s="1">
        <f>Tabela1[[#This Row],[delta]]/1024</f>
        <v>5.95</v>
      </c>
    </row>
    <row r="17" spans="2:5" x14ac:dyDescent="0.25">
      <c r="B17" s="3" t="s">
        <v>14</v>
      </c>
      <c r="C17" s="4"/>
      <c r="D17" s="4"/>
      <c r="E17" s="4"/>
    </row>
    <row r="18" spans="2:5" x14ac:dyDescent="0.25">
      <c r="B18" s="7" t="s">
        <v>0</v>
      </c>
      <c r="C18" s="7" t="s">
        <v>17</v>
      </c>
      <c r="D18" s="7" t="s">
        <v>18</v>
      </c>
      <c r="E18" s="7" t="s">
        <v>19</v>
      </c>
    </row>
    <row r="19" spans="2:5" x14ac:dyDescent="0.25">
      <c r="B19" s="5" t="s">
        <v>1</v>
      </c>
      <c r="C19" s="9">
        <f>D4/C4</f>
        <v>0.23552587144947656</v>
      </c>
      <c r="D19" s="9">
        <f>E4/C4</f>
        <v>1.4961915125136018</v>
      </c>
      <c r="E19" s="9">
        <f>F4/C4</f>
        <v>0.23437769689692692</v>
      </c>
    </row>
    <row r="20" spans="2:5" x14ac:dyDescent="0.25">
      <c r="B20" s="6" t="s">
        <v>2</v>
      </c>
      <c r="C20" s="10">
        <f t="shared" ref="C20:C30" si="0">D5/C5</f>
        <v>0.33733693116111102</v>
      </c>
      <c r="D20" s="10">
        <f t="shared" ref="D19:D30" si="1">E5/C5</f>
        <v>1.5667187404897644</v>
      </c>
      <c r="E20" s="10">
        <f t="shared" ref="E19:E30" si="2">F5/C5</f>
        <v>0.3365619103653959</v>
      </c>
    </row>
    <row r="21" spans="2:5" x14ac:dyDescent="0.25">
      <c r="B21" s="5" t="s">
        <v>3</v>
      </c>
      <c r="C21" s="9">
        <f t="shared" si="0"/>
        <v>0.27574970599764798</v>
      </c>
      <c r="D21" s="9">
        <f t="shared" si="1"/>
        <v>1.7080556644453155</v>
      </c>
      <c r="E21" s="9">
        <f t="shared" si="2"/>
        <v>0.26342610740885924</v>
      </c>
    </row>
    <row r="22" spans="2:5" x14ac:dyDescent="0.25">
      <c r="B22" s="6" t="s">
        <v>4</v>
      </c>
      <c r="C22" s="10">
        <f t="shared" si="0"/>
        <v>7.9589452603471292E-2</v>
      </c>
      <c r="D22" s="10">
        <f t="shared" si="1"/>
        <v>1.4337616822429906</v>
      </c>
      <c r="E22" s="10">
        <f t="shared" si="2"/>
        <v>7.6048064085447273E-2</v>
      </c>
    </row>
    <row r="23" spans="2:5" x14ac:dyDescent="0.25">
      <c r="B23" s="5" t="s">
        <v>5</v>
      </c>
      <c r="C23" s="9">
        <f t="shared" si="0"/>
        <v>0.38693282182992511</v>
      </c>
      <c r="D23" s="9">
        <f t="shared" si="1"/>
        <v>1.3139135429196875</v>
      </c>
      <c r="E23" s="9">
        <f t="shared" si="2"/>
        <v>0.38839580827291742</v>
      </c>
    </row>
    <row r="24" spans="2:5" x14ac:dyDescent="0.25">
      <c r="B24" s="6" t="s">
        <v>6</v>
      </c>
      <c r="C24" s="10">
        <f t="shared" si="0"/>
        <v>0.19008829188469906</v>
      </c>
      <c r="D24" s="10">
        <f t="shared" si="1"/>
        <v>1.5307762852673032</v>
      </c>
      <c r="E24" s="10">
        <f t="shared" si="2"/>
        <v>0.18781895668123211</v>
      </c>
    </row>
    <row r="25" spans="2:5" x14ac:dyDescent="0.25">
      <c r="B25" s="5" t="s">
        <v>7</v>
      </c>
      <c r="C25" s="9">
        <f t="shared" si="0"/>
        <v>0.39943605730498444</v>
      </c>
      <c r="D25" s="9">
        <f t="shared" si="1"/>
        <v>1.6178500122596238</v>
      </c>
      <c r="E25" s="9">
        <f t="shared" si="2"/>
        <v>0.40172335283197308</v>
      </c>
    </row>
    <row r="26" spans="2:5" x14ac:dyDescent="0.25">
      <c r="B26" s="6" t="s">
        <v>8</v>
      </c>
      <c r="C26" s="10">
        <f>D11/C11</f>
        <v>0.31009424321562395</v>
      </c>
      <c r="D26" s="10">
        <f>E11/C11</f>
        <v>2.0005961167253323</v>
      </c>
      <c r="E26" s="10">
        <f>F11/C11</f>
        <v>0.30521176337004657</v>
      </c>
    </row>
    <row r="27" spans="2:5" x14ac:dyDescent="0.25">
      <c r="B27" s="5" t="s">
        <v>9</v>
      </c>
      <c r="C27" s="9">
        <f t="shared" si="0"/>
        <v>0.1215221590019314</v>
      </c>
      <c r="D27" s="9">
        <f t="shared" si="1"/>
        <v>1.3330062118285744</v>
      </c>
      <c r="E27" s="9">
        <f t="shared" si="2"/>
        <v>0.12080388369786502</v>
      </c>
    </row>
    <row r="28" spans="2:5" x14ac:dyDescent="0.25">
      <c r="B28" s="6" t="s">
        <v>10</v>
      </c>
      <c r="C28" s="10">
        <f t="shared" si="0"/>
        <v>0.10509706860546059</v>
      </c>
      <c r="D28" s="10">
        <f t="shared" si="1"/>
        <v>1.4475365457498646</v>
      </c>
      <c r="E28" s="10">
        <f t="shared" si="2"/>
        <v>0.10296233274035115</v>
      </c>
    </row>
    <row r="29" spans="2:5" x14ac:dyDescent="0.25">
      <c r="B29" s="5" t="s">
        <v>11</v>
      </c>
      <c r="C29" s="9">
        <f t="shared" si="0"/>
        <v>8.2389999015651152E-2</v>
      </c>
      <c r="D29" s="9">
        <f t="shared" si="1"/>
        <v>1.6389900580765824</v>
      </c>
      <c r="E29" s="9">
        <f t="shared" si="2"/>
        <v>7.8873904911900772E-2</v>
      </c>
    </row>
    <row r="30" spans="2:5" x14ac:dyDescent="0.25">
      <c r="B30" s="8" t="s">
        <v>12</v>
      </c>
      <c r="C30" s="11">
        <f t="shared" si="0"/>
        <v>0.18201754385964913</v>
      </c>
      <c r="D30" s="11">
        <f t="shared" si="1"/>
        <v>1.9591520467836256</v>
      </c>
      <c r="E30" s="11">
        <f t="shared" si="2"/>
        <v>0.17815204678362573</v>
      </c>
    </row>
  </sheetData>
  <mergeCells count="2">
    <mergeCell ref="B2:F2"/>
    <mergeCell ref="B17:E17"/>
  </mergeCell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Kb</vt:lpstr>
      <vt:lpstr>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Braga de Oliveira Junior</dc:creator>
  <cp:lastModifiedBy>William Braga de Oliveira Junior</cp:lastModifiedBy>
  <dcterms:created xsi:type="dcterms:W3CDTF">2026-06-19T03:49:53Z</dcterms:created>
  <dcterms:modified xsi:type="dcterms:W3CDTF">2026-06-19T04:28:57Z</dcterms:modified>
</cp:coreProperties>
</file>